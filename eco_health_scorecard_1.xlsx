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GO Scorecard Dashboard" sheetId="1" state="visible" r:id="rId3"/>
    <sheet name="Soil Health" sheetId="2" state="visible" r:id="rId4"/>
    <sheet name="Air Quality" sheetId="3" state="visible" r:id="rId5"/>
    <sheet name="Water Quality" sheetId="4" state="visible" r:id="rId6"/>
    <sheet name="Biodiversity" sheetId="5" state="visible" r:id="rId7"/>
    <sheet name="Energy Footprint" sheetId="6" state="visible" r:id="rId8"/>
    <sheet name="Materials &amp; Waste" sheetId="7" state="visible" r:id="rId9"/>
    <sheet name="Diversity &amp; Ratio Indi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<sst xmlns="http://schemas.openxmlformats.org/spreadsheetml/2006/main" count="249" uniqueCount="208">
  <si>
    <t xml:space="preserve">ECO-HEALTH SITE ASSESSMENT DASHBOARD</t>
  </si>
  <si>
    <t xml:space="preserve">Partner NGO Name:</t>
  </si>
  <si>
    <t xml:space="preserve">[Enter NGO Name]</t>
  </si>
  <si>
    <t xml:space="preserve">Assessment Location / Site:</t>
  </si>
  <si>
    <t xml:space="preserve">[Enter Location Name, State]</t>
  </si>
  <si>
    <t xml:space="preserve">Assessment Date:</t>
  </si>
  <si>
    <t xml:space="preserve">2026-08-26</t>
  </si>
  <si>
    <t xml:space="preserve">Pillar / Parameter</t>
  </si>
  <si>
    <t xml:space="preserve">Assigned Weight</t>
  </si>
  <si>
    <t xml:space="preserve">Calculated Score (0-100)</t>
  </si>
  <si>
    <t xml:space="preserve">Weighted Contribution</t>
  </si>
  <si>
    <t xml:space="preserve">Data Source / Method Summary</t>
  </si>
  <si>
    <t xml:space="preserve">1. Soil Health</t>
  </si>
  <si>
    <t xml:space="preserve">Digital NPK/pH probe + Tea Bag Index + Crop Diversification + Grazing Pressure</t>
  </si>
  <si>
    <t xml:space="preserve">2. Air Quality</t>
  </si>
  <si>
    <t xml:space="preserve">IoT PM2.5/PM10 sensors + Lichen bio-indicator mapping</t>
  </si>
  <si>
    <t xml:space="preserve">3. Water Quality</t>
  </si>
  <si>
    <t xml:space="preserve">Handheld TDS/DO meters + Macroinvertebrate kick sampling</t>
  </si>
  <si>
    <t xml:space="preserve">4. Biodiversity</t>
  </si>
  <si>
    <t xml:space="preserve">10x10m Quadrats (Shannon Index) + eBird/iNaturalist audits</t>
  </si>
  <si>
    <t xml:space="preserve">5. Energy Footprint</t>
  </si>
  <si>
    <t xml:space="preserve">Renewable Adoption Ratio + Biomass efficiency audits</t>
  </si>
  <si>
    <t xml:space="preserve">6. Materials &amp; Waste</t>
  </si>
  <si>
    <t xml:space="preserve">7-Day segregation audit (Weight basis) &amp; Diversion metrics</t>
  </si>
  <si>
    <t xml:space="preserve">TOTAL OVERALL ECO-HEALTH INDEX</t>
  </si>
  <si>
    <t xml:space="preserve">Eco-Health Rating Scale</t>
  </si>
  <si>
    <t xml:space="preserve">Index Range</t>
  </si>
  <si>
    <t xml:space="preserve">Ecological Health Status</t>
  </si>
  <si>
    <t xml:space="preserve">Action Recommended</t>
  </si>
  <si>
    <t xml:space="preserve">85% - 100%</t>
  </si>
  <si>
    <t xml:space="preserve">Excellent / Pristine</t>
  </si>
  <si>
    <t xml:space="preserve">Conservation &amp; Protection; serve as regional seed/ecological bank.</t>
  </si>
  <si>
    <t xml:space="preserve">65% - 84.9%</t>
  </si>
  <si>
    <t xml:space="preserve">Good / Stable</t>
  </si>
  <si>
    <t xml:space="preserve">Continuous monitoring; introduce minor sustainable management practices.</t>
  </si>
  <si>
    <t xml:space="preserve">45% - 64.9%</t>
  </si>
  <si>
    <t xml:space="preserve">Degrading / Vulnerable</t>
  </si>
  <si>
    <t xml:space="preserve">Active restoration intervention required; identify localized stressors.</t>
  </si>
  <si>
    <t xml:space="preserve">0% - 44.9%</t>
  </si>
  <si>
    <t xml:space="preserve">Critical / Severely Damaged</t>
  </si>
  <si>
    <t xml:space="preserve">Immediate emergency ecological rehabilitation; strict enforcement needed.</t>
  </si>
  <si>
    <t xml:space="preserve">Ecosystem Measurement Framework: Soil Health</t>
  </si>
  <si>
    <t xml:space="preserve">Specific Indicator Metric</t>
  </si>
  <si>
    <t xml:space="preserve">Unit of Measure</t>
  </si>
  <si>
    <t xml:space="preserve">Target Baseline (Healthy)</t>
  </si>
  <si>
    <t xml:space="preserve">Field Assessment Method</t>
  </si>
  <si>
    <t xml:space="preserve">NGO Reported Score (0-100)</t>
  </si>
  <si>
    <t xml:space="preserve">Bulk Density (Soil Compaction)</t>
  </si>
  <si>
    <t xml:space="preserve">g/cm3</t>
  </si>
  <si>
    <t xml:space="preserve">&lt; 1.30 g/cm3</t>
  </si>
  <si>
    <t xml:space="preserve">Core sampler method (Dry soil wt / volume)</t>
  </si>
  <si>
    <t xml:space="preserve">Soil Organic Carbon (SOC)</t>
  </si>
  <si>
    <t xml:space="preserve">%</t>
  </si>
  <si>
    <t xml:space="preserve">&gt; 0.75% (Indian Target)</t>
  </si>
  <si>
    <t xml:space="preserve">Walkley-Black field kit / Lab validation</t>
  </si>
  <si>
    <t xml:space="preserve">pH Level Equilibrium</t>
  </si>
  <si>
    <t xml:space="preserve">pH Scale</t>
  </si>
  <si>
    <t xml:space="preserve">6.5 - 7.5</t>
  </si>
  <si>
    <t xml:space="preserve">Handheld digital electrode probe</t>
  </si>
  <si>
    <t xml:space="preserve">Microbial Activity (TBI)</t>
  </si>
  <si>
    <t xml:space="preserve">Decomp Rate</t>
  </si>
  <si>
    <t xml:space="preserve">High mass loss over 90 days</t>
  </si>
  <si>
    <t xml:space="preserve">Tea Bag Index standard burial method</t>
  </si>
  <si>
    <t xml:space="preserve">Crop Diversification Index (Shannon)</t>
  </si>
  <si>
    <t xml:space="preserve">Index (0-100 normalized)</t>
  </si>
  <si>
    <t xml:space="preserve">&gt; 60 (Good diversification)</t>
  </si>
  <si>
    <t xml:space="preserve">Shannon-Weiner Index on seasonal crop area data — see 'Diversity &amp; Ratio Indices' tab</t>
  </si>
  <si>
    <t xml:space="preserve">Livestock Grazing Pressure Ratio</t>
  </si>
  <si>
    <t xml:space="preserve">Ratio (normalized 0-100)</t>
  </si>
  <si>
    <t xml:space="preserve">Stocking density &lt;= carrying capacity</t>
  </si>
  <si>
    <t xml:space="preserve">Stocking density / recommended carrying capacity — see 'Diversity &amp; Ratio Indices' tab</t>
  </si>
  <si>
    <t xml:space="preserve">Pillar Average Score</t>
  </si>
  <si>
    <t xml:space="preserve">Ecosystem Measurement Framework: Air Quality</t>
  </si>
  <si>
    <t xml:space="preserve">Particulate Matter (PM2.5)</t>
  </si>
  <si>
    <t xml:space="preserve">µg/m³</t>
  </si>
  <si>
    <t xml:space="preserve">&lt; 40 µg/m³ (CPCB Annual)</t>
  </si>
  <si>
    <t xml:space="preserve">Calibrated Laser PM Sensor (e.g., PMS5003)</t>
  </si>
  <si>
    <t xml:space="preserve">Particulate Matter (PM10)</t>
  </si>
  <si>
    <t xml:space="preserve">&lt; 60 µg/m³ (CPCB Annual)</t>
  </si>
  <si>
    <t xml:space="preserve">Low-cost ambient outdoor monitoring unit</t>
  </si>
  <si>
    <t xml:space="preserve">Nitrogen Dioxide (NO2)</t>
  </si>
  <si>
    <t xml:space="preserve">&lt; 40 µg/m³</t>
  </si>
  <si>
    <t xml:space="preserve">Electrochemical gas sensor / Passive tubes</t>
  </si>
  <si>
    <t xml:space="preserve">Lichen Bio-Indicator Cover</t>
  </si>
  <si>
    <t xml:space="preserve">% grid cover</t>
  </si>
  <si>
    <t xml:space="preserve">&gt; 40% tree trunk surface</t>
  </si>
  <si>
    <t xml:space="preserve">10x10cm clear grid mesh overlay count</t>
  </si>
  <si>
    <t xml:space="preserve">Ecosystem Measurement Framework: Water Quality</t>
  </si>
  <si>
    <t xml:space="preserve">Total Dissolved Solids (TDS)</t>
  </si>
  <si>
    <t xml:space="preserve">mg/L</t>
  </si>
  <si>
    <t xml:space="preserve">100 - 500 mg/L</t>
  </si>
  <si>
    <t xml:space="preserve">Digital TDS conductivity pen tester</t>
  </si>
  <si>
    <t xml:space="preserve">Dissolved Oxygen (DO)</t>
  </si>
  <si>
    <t xml:space="preserve">&gt; 5.0 mg/L (Class A/B water)</t>
  </si>
  <si>
    <t xml:space="preserve">Winkler colorimetric kit / DO optical probe</t>
  </si>
  <si>
    <t xml:space="preserve">Phosphate Contamination</t>
  </si>
  <si>
    <t xml:space="preserve">&lt; 0.1 mg/L (Prevents bloom)</t>
  </si>
  <si>
    <t xml:space="preserve">Chemical comparator visual test kit</t>
  </si>
  <si>
    <t xml:space="preserve">Macroinvertebrate Biotic Index</t>
  </si>
  <si>
    <t xml:space="preserve">Index Score</t>
  </si>
  <si>
    <t xml:space="preserve">&gt; 7.0 (Pollution sensitive)</t>
  </si>
  <si>
    <t xml:space="preserve">Kick-net sampling in shallow running water</t>
  </si>
  <si>
    <t xml:space="preserve">Ecosystem Measurement Framework: Biodiversity</t>
  </si>
  <si>
    <t xml:space="preserve">Native Floral Richness</t>
  </si>
  <si>
    <t xml:space="preserve">Species count</t>
  </si>
  <si>
    <t xml:space="preserve">Verify against regional baseline</t>
  </si>
  <si>
    <t xml:space="preserve">10x10m quadrat inventory audit</t>
  </si>
  <si>
    <t xml:space="preserve">Shannon-Weiner Index (H')</t>
  </si>
  <si>
    <t xml:space="preserve">Index Value</t>
  </si>
  <si>
    <t xml:space="preserve">&gt; 2.5 (Stable diversity)</t>
  </si>
  <si>
    <t xml:space="preserve">Calculated from quadrat distribution counts</t>
  </si>
  <si>
    <t xml:space="preserve">Avian Functional Diversity</t>
  </si>
  <si>
    <t xml:space="preserve">High insectivore/frugivore ratio</t>
  </si>
  <si>
    <t xml:space="preserve">Fixed 15-min point counts log on eBird</t>
  </si>
  <si>
    <t xml:space="preserve">Canopy / Ground Cover Density</t>
  </si>
  <si>
    <t xml:space="preserve">% area</t>
  </si>
  <si>
    <t xml:space="preserve">&gt; 33% total structural canopy</t>
  </si>
  <si>
    <t xml:space="preserve">Densiometer / smartphone micro-lux mapping</t>
  </si>
  <si>
    <t xml:space="preserve">Ecosystem Measurement Framework: Energy Footprint</t>
  </si>
  <si>
    <t xml:space="preserve">Renewable Energy Adoption Ratio</t>
  </si>
  <si>
    <t xml:space="preserve">% (normalized 0-100)</t>
  </si>
  <si>
    <t xml:space="preserve">&gt; 50% localized footprint</t>
  </si>
  <si>
    <t xml:space="preserve">Renewable capacity or households / total — see 'Diversity &amp; Ratio Indices' tab</t>
  </si>
  <si>
    <t xml:space="preserve">Biomass Thermal Efficiency</t>
  </si>
  <si>
    <t xml:space="preserve">kg fuel/hr</t>
  </si>
  <si>
    <t xml:space="preserve">&lt; 1.5 kg/hr per household</t>
  </si>
  <si>
    <t xml:space="preserve">Controlled Water Boiling Test (WBT) logs</t>
  </si>
  <si>
    <t xml:space="preserve">Per Capita Grid Intensity</t>
  </si>
  <si>
    <t xml:space="preserve">kWh/month</t>
  </si>
  <si>
    <t xml:space="preserve">Optimize below regional caps</t>
  </si>
  <si>
    <t xml:space="preserve">Monthly electricity bill tracking tables</t>
  </si>
  <si>
    <t xml:space="preserve">Passive Solar / Shade Fraction</t>
  </si>
  <si>
    <t xml:space="preserve">% buildings</t>
  </si>
  <si>
    <t xml:space="preserve">&gt; 40% structural elements</t>
  </si>
  <si>
    <t xml:space="preserve">Thermal imaging / shade path blueprints</t>
  </si>
  <si>
    <t xml:space="preserve">Ecosystem Measurement Framework: Materials &amp; Waste</t>
  </si>
  <si>
    <t xml:space="preserve">Per Capita Waste Generation</t>
  </si>
  <si>
    <t xml:space="preserve">kg/capita/day</t>
  </si>
  <si>
    <t xml:space="preserve">&lt; 0.4 kg/day</t>
  </si>
  <si>
    <t xml:space="preserve">Daily collection spring balance audit</t>
  </si>
  <si>
    <t xml:space="preserve">Organic Source Segregation</t>
  </si>
  <si>
    <t xml:space="preserve">% by weight</t>
  </si>
  <si>
    <t xml:space="preserve">&gt; 90% purity of organic bin</t>
  </si>
  <si>
    <t xml:space="preserve">Random audit sorting &amp; physical weighing</t>
  </si>
  <si>
    <t xml:space="preserve">Landfill Diversion Rate</t>
  </si>
  <si>
    <t xml:space="preserve">% diverted</t>
  </si>
  <si>
    <t xml:space="preserve">&gt; 75% recycled/composted</t>
  </si>
  <si>
    <t xml:space="preserve">(Composted + Recycled wt) / Total wt</t>
  </si>
  <si>
    <t xml:space="preserve">Single-Use Plastic Footprint</t>
  </si>
  <si>
    <t xml:space="preserve">Items/week</t>
  </si>
  <si>
    <t xml:space="preserve">Target: 0 items</t>
  </si>
  <si>
    <t xml:space="preserve">Count of unrecyclable films/MLP in waste stream</t>
  </si>
  <si>
    <t xml:space="preserve">Diversity &amp; Ratio-Based Indices</t>
  </si>
  <si>
    <t xml:space="preserve">These indices replace binary yes/no ratings with a continuous 0-100 score, so a real trajectory (e.g. 1 crop -&gt; 22 crops) shows up as a gradient rather than two identical 'multicrop' flags.</t>
  </si>
  <si>
    <t xml:space="preserve">1. Crop Diversification Index (Shannon-Weiner)</t>
  </si>
  <si>
    <t xml:space="preserve">Enter every crop grown this season and its area below (same unit throughout, e.g. acres). The index recalculates automatically as rows are filled in each season.</t>
  </si>
  <si>
    <t xml:space="preserve">Crop Name</t>
  </si>
  <si>
    <t xml:space="preserve">Area (acres)</t>
  </si>
  <si>
    <t xml:space="preserve">Proportion (p)</t>
  </si>
  <si>
    <t xml:space="preserve">p x ln(p)</t>
  </si>
  <si>
    <t xml:space="preserve">Total Area</t>
  </si>
  <si>
    <t xml:space="preserve">Shannon Diversity Index (H')</t>
  </si>
  <si>
    <t xml:space="preserve">Simpson's Diversity Index (1-D)</t>
  </si>
  <si>
    <t xml:space="preserve">Number of Crops Recorded</t>
  </si>
  <si>
    <t xml:space="preserve">Normalized Score (0-100)</t>
  </si>
  <si>
    <t xml:space="preserve">Interpretation</t>
  </si>
  <si>
    <t xml:space="preserve">Shannon Index (H') Range</t>
  </si>
  <si>
    <t xml:space="preserve">Status</t>
  </si>
  <si>
    <t xml:space="preserve">0.00</t>
  </si>
  <si>
    <t xml:space="preserve">Pure monocrop</t>
  </si>
  <si>
    <t xml:space="preserve">0.01 - 0.69</t>
  </si>
  <si>
    <t xml:space="preserve">Low diversity (token multicropping, e.g. 2 crops at 90/10 split)</t>
  </si>
  <si>
    <t xml:space="preserve">0.70 - 1.60</t>
  </si>
  <si>
    <t xml:space="preserve">Moderate diversification</t>
  </si>
  <si>
    <t xml:space="preserve">1.61 - 2.50</t>
  </si>
  <si>
    <t xml:space="preserve">Good diversification</t>
  </si>
  <si>
    <t xml:space="preserve">&gt; 2.50</t>
  </si>
  <si>
    <t xml:space="preserve">High diversification (traditional polyculture level, approaching 20+ crops)</t>
  </si>
  <si>
    <t xml:space="preserve">2. Livestock Grazing Pressure Ratio</t>
  </si>
  <si>
    <t xml:space="preserve">Enter total grazing livestock (converted to Livestock Units, LU), the grazing land area, and the recommended carrying capacity for this ecosystem type (consult regional agriculture/forestry norms; typical semi-arid India range is 2-4 LU/hectare).</t>
  </si>
  <si>
    <t xml:space="preserve">Total Livestock Units (LU) Grazing Site</t>
  </si>
  <si>
    <t xml:space="preserve">Grazing Land Area (hectares)</t>
  </si>
  <si>
    <t xml:space="preserve">Recommended Carrying Capacity (LU/hectare)</t>
  </si>
  <si>
    <t xml:space="preserve">Actual Stocking Density (LU/ha)</t>
  </si>
  <si>
    <t xml:space="preserve">Grazing Pressure Ratio (density / capacity)</t>
  </si>
  <si>
    <t xml:space="preserve">Grazing Pressure Ratio</t>
  </si>
  <si>
    <t xml:space="preserve">&lt;= 1.0</t>
  </si>
  <si>
    <t xml:space="preserve">Within carrying capacity</t>
  </si>
  <si>
    <t xml:space="preserve">1.0 - 1.5</t>
  </si>
  <si>
    <t xml:space="preserve">Mild overgrazing pressure</t>
  </si>
  <si>
    <t xml:space="preserve">1.5 - 2.0</t>
  </si>
  <si>
    <t xml:space="preserve">Moderate overgrazing</t>
  </si>
  <si>
    <t xml:space="preserve">&gt; 2.0</t>
  </si>
  <si>
    <t xml:space="preserve">Severe overgrazing</t>
  </si>
  <si>
    <t xml:space="preserve">3. Renewable Energy Adoption Ratio</t>
  </si>
  <si>
    <t xml:space="preserve">Enter renewable-powered capacity (kWh) or number of renewable-using households, and the site's total for the same unit. Ratio is already 0-100, so no rescaling is needed.</t>
  </si>
  <si>
    <t xml:space="preserve">Renewable Capacity / Renewable-Using Households</t>
  </si>
  <si>
    <t xml:space="preserve">Total Energy Capacity / Total Households</t>
  </si>
  <si>
    <t xml:space="preserve">Renewable Adoption Ratio (%)</t>
  </si>
  <si>
    <t xml:space="preserve">Adoption Ratio</t>
  </si>
  <si>
    <t xml:space="preserve">&lt; 25%</t>
  </si>
  <si>
    <t xml:space="preserve">Low adoption</t>
  </si>
  <si>
    <t xml:space="preserve">25% - 50%</t>
  </si>
  <si>
    <t xml:space="preserve">Moderate adoption</t>
  </si>
  <si>
    <t xml:space="preserve">50% - 75%</t>
  </si>
  <si>
    <t xml:space="preserve">Good adoption</t>
  </si>
  <si>
    <t xml:space="preserve">&gt; 75%</t>
  </si>
  <si>
    <t xml:space="preserve">High adoption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</si>
</sst>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0.0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47A1"/>
      <name val="Segoe UI"/>
      <family val="0"/>
      <charset val="1"/>
    </font>
    <font>
      <b val="true"/>
      <sz val="11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1"/>
      <name val="Segoe UI"/>
      <family val="0"/>
      <charset val="1"/>
    </font>
    <font>
      <b val="true"/>
      <sz val="12"/>
      <color rgb="FF1B5E20"/>
      <name val="Segoe UI"/>
      <family val="0"/>
      <charset val="1"/>
    </font>
    <font>
      <b val="true"/>
      <sz val="11"/>
      <color rgb="FF1565C0"/>
      <name val="Segoe UI"/>
      <family val="0"/>
      <charset val="1"/>
    </font>
    <font>
      <i val="true"/>
      <sz val="10"/>
      <color rgb="FF555555"/>
      <name val="Segoe UI"/>
      <family val="0"/>
      <charset val="1"/>
    </font>
    <font>
      <i val="true"/>
      <sz val="9"/>
      <color rgb="FF555555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E8F5E9"/>
        <bgColor rgb="FFFFF9E1"/>
      </patternFill>
    </fill>
    <fill>
      <patternFill patternType="solid">
        <fgColor rgb="FF1565C0"/>
        <bgColor rgb="FF0D47A1"/>
      </patternFill>
    </fill>
    <fill>
      <patternFill patternType="solid">
        <fgColor rgb="FFFFF9E1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AAAAAA"/>
      </top>
      <bottom style="double">
        <color rgb="FF1B5E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1"/>
      <rgbColor rgb="FFE8F5E9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D47A1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9.7" hidden="false" customHeight="false" outlineLevel="0" collapsed="false">
      <c r="A2" s="1" t="s">
        <v>0</v>
      </c>
    </row>
    <row r="4" customFormat="false" ht="15" hidden="false" customHeight="false" outlineLevel="0" collapsed="false">
      <c r="A4" s="2" t="s">
        <v>1</v>
      </c>
      <c r="B4" s="3" t="s">
        <v>2</v>
      </c>
    </row>
    <row r="5" customFormat="false" ht="1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 t="s">
        <v>5</v>
      </c>
      <c r="B6" s="3" t="s">
        <v>6</v>
      </c>
    </row>
    <row r="9" customFormat="false" ht="95.5" hidden="false" customHeight="false" outlineLevel="0" collapsed="false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</row>
    <row r="10" customFormat="false" ht="15" hidden="false" customHeight="false" outlineLevel="0" collapsed="false">
      <c r="A10" s="5" t="s">
        <v>12</v>
      </c>
      <c r="B10" s="6" t="n">
        <v>0.2</v>
      </c>
      <c r="C10" s="7" t="n">
        <f aca="false">'Soil Health'!C13</f>
        <v>66.6666666666667</v>
      </c>
      <c r="D10" s="6" t="n">
        <f aca="false">B10*C10</f>
        <v>13.3333333333333</v>
      </c>
      <c r="E10" s="5" t="s">
        <v>13</v>
      </c>
    </row>
    <row r="11" customFormat="false" ht="15" hidden="false" customHeight="false" outlineLevel="0" collapsed="false">
      <c r="A11" s="5" t="s">
        <v>14</v>
      </c>
      <c r="B11" s="6" t="n">
        <v>0.15</v>
      </c>
      <c r="C11" s="7" t="n">
        <f aca="false">'Air Quality'!C11</f>
        <v>75</v>
      </c>
      <c r="D11" s="6" t="n">
        <f aca="false">B11*C11</f>
        <v>11.25</v>
      </c>
      <c r="E11" s="5" t="s">
        <v>15</v>
      </c>
    </row>
    <row r="12" customFormat="false" ht="15" hidden="false" customHeight="false" outlineLevel="0" collapsed="false">
      <c r="A12" s="5" t="s">
        <v>16</v>
      </c>
      <c r="B12" s="6" t="n">
        <v>0.2</v>
      </c>
      <c r="C12" s="7" t="n">
        <f aca="false">'Water Quality'!C11</f>
        <v>75</v>
      </c>
      <c r="D12" s="6" t="n">
        <f aca="false">B12*C12</f>
        <v>15</v>
      </c>
      <c r="E12" s="5" t="s">
        <v>17</v>
      </c>
    </row>
    <row r="13" customFormat="false" ht="15" hidden="false" customHeight="false" outlineLevel="0" collapsed="false">
      <c r="A13" s="5" t="s">
        <v>18</v>
      </c>
      <c r="B13" s="6" t="n">
        <v>0.2</v>
      </c>
      <c r="C13" s="7" t="n">
        <f aca="false">Biodiversity!C11</f>
        <v>75</v>
      </c>
      <c r="D13" s="6" t="n">
        <f aca="false">B13*C13</f>
        <v>15</v>
      </c>
      <c r="E13" s="5" t="s">
        <v>19</v>
      </c>
    </row>
    <row r="14" customFormat="false" ht="15" hidden="false" customHeight="false" outlineLevel="0" collapsed="false">
      <c r="A14" s="5" t="s">
        <v>20</v>
      </c>
      <c r="B14" s="6" t="n">
        <v>0.125</v>
      </c>
      <c r="C14" s="7" t="n">
        <f aca="false">'Energy Footprint'!C11</f>
        <v>56.25</v>
      </c>
      <c r="D14" s="6" t="n">
        <f aca="false">B14*C14</f>
        <v>7.03125</v>
      </c>
      <c r="E14" s="5" t="s">
        <v>21</v>
      </c>
    </row>
    <row r="15" customFormat="false" ht="15" hidden="false" customHeight="false" outlineLevel="0" collapsed="false">
      <c r="A15" s="5" t="s">
        <v>22</v>
      </c>
      <c r="B15" s="6" t="n">
        <v>0.125</v>
      </c>
      <c r="C15" s="7" t="n">
        <f aca="false">'Materials &amp; Waste'!C11</f>
        <v>75</v>
      </c>
      <c r="D15" s="6" t="n">
        <f aca="false">B15*C15</f>
        <v>9.375</v>
      </c>
      <c r="E15" s="5" t="s">
        <v>23</v>
      </c>
    </row>
    <row r="16" customFormat="false" ht="15" hidden="false" customHeight="false" outlineLevel="0" collapsed="false">
      <c r="A16" s="8" t="s">
        <v>24</v>
      </c>
      <c r="B16" s="9" t="n">
        <f aca="false">SUM(B10:B15)</f>
        <v>1</v>
      </c>
      <c r="C16" s="8"/>
      <c r="D16" s="9" t="n">
        <f aca="false">SUM(D10:D15)</f>
        <v>70.9895833333333</v>
      </c>
      <c r="E16" s="8"/>
    </row>
    <row r="19" customFormat="false" ht="15" hidden="false" customHeight="false" outlineLevel="0" collapsed="false">
      <c r="A19" s="10" t="s">
        <v>25</v>
      </c>
    </row>
    <row r="20" customFormat="false" ht="15" hidden="false" customHeight="false" outlineLevel="0" collapsed="false">
      <c r="A20" s="11" t="s">
        <v>26</v>
      </c>
      <c r="B20" s="11" t="s">
        <v>27</v>
      </c>
      <c r="C20" s="11" t="s">
        <v>28</v>
      </c>
    </row>
    <row r="21" customFormat="false" ht="15" hidden="false" customHeight="false" outlineLevel="0" collapsed="false">
      <c r="A21" s="5" t="s">
        <v>29</v>
      </c>
      <c r="B21" s="5" t="s">
        <v>30</v>
      </c>
      <c r="C21" s="5" t="s">
        <v>31</v>
      </c>
    </row>
    <row r="22" customFormat="false" ht="15" hidden="false" customHeight="false" outlineLevel="0" collapsed="false">
      <c r="A22" s="5" t="s">
        <v>32</v>
      </c>
      <c r="B22" s="5" t="s">
        <v>33</v>
      </c>
      <c r="C22" s="5" t="s">
        <v>34</v>
      </c>
    </row>
    <row r="23" customFormat="false" ht="15" hidden="false" customHeight="false" outlineLevel="0" collapsed="false">
      <c r="A23" s="5" t="s">
        <v>35</v>
      </c>
      <c r="B23" s="5" t="s">
        <v>36</v>
      </c>
      <c r="C23" s="5" t="s">
        <v>37</v>
      </c>
    </row>
    <row r="24" customFormat="false" ht="15" hidden="false" customHeight="false" outlineLevel="0" collapsed="false">
      <c r="A24" s="5" t="s">
        <v>38</v>
      </c>
      <c r="B24" s="5" t="s">
        <v>39</v>
      </c>
      <c r="C24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22"/>
  </cols>
  <sheetData>
    <row r="2" customFormat="false" ht="19.7" hidden="false" customHeight="false" outlineLevel="0" collapsed="false">
      <c r="A2" s="1" t="s">
        <v>41</v>
      </c>
    </row>
    <row r="5" customFormat="false" ht="28.3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</row>
    <row r="6" customFormat="false" ht="15" hidden="false" customHeight="false" outlineLevel="0" collapsed="false">
      <c r="A6" s="5" t="s">
        <v>47</v>
      </c>
      <c r="B6" s="5" t="s">
        <v>48</v>
      </c>
      <c r="C6" s="5" t="s">
        <v>49</v>
      </c>
      <c r="D6" s="5" t="s">
        <v>50</v>
      </c>
      <c r="E6" s="12" t="n">
        <v>75</v>
      </c>
    </row>
    <row r="7" customFormat="false" ht="15" hidden="false" customHeight="false" outlineLevel="0" collapsed="false">
      <c r="A7" s="5" t="s">
        <v>51</v>
      </c>
      <c r="B7" s="5" t="s">
        <v>52</v>
      </c>
      <c r="C7" s="5" t="s">
        <v>53</v>
      </c>
      <c r="D7" s="5" t="s">
        <v>54</v>
      </c>
      <c r="E7" s="12" t="n">
        <v>75</v>
      </c>
    </row>
    <row r="8" customFormat="false" ht="15" hidden="false" customHeight="false" outlineLevel="0" collapsed="false">
      <c r="A8" s="5" t="s">
        <v>55</v>
      </c>
      <c r="B8" s="5" t="s">
        <v>56</v>
      </c>
      <c r="C8" s="5" t="s">
        <v>57</v>
      </c>
      <c r="D8" s="5" t="s">
        <v>58</v>
      </c>
      <c r="E8" s="12" t="n">
        <v>75</v>
      </c>
    </row>
    <row r="9" customFormat="false" ht="15" hidden="false" customHeight="false" outlineLevel="0" collapsed="false">
      <c r="A9" s="5" t="s">
        <v>59</v>
      </c>
      <c r="B9" s="5" t="s">
        <v>60</v>
      </c>
      <c r="C9" s="5" t="s">
        <v>61</v>
      </c>
      <c r="D9" s="5" t="s">
        <v>62</v>
      </c>
      <c r="E9" s="12" t="n">
        <v>75</v>
      </c>
    </row>
    <row r="10" customFormat="false" ht="15" hidden="false" customHeight="false" outlineLevel="0" collapsed="false">
      <c r="A10" s="5" t="s">
        <v>63</v>
      </c>
      <c r="B10" s="5" t="s">
        <v>64</v>
      </c>
      <c r="C10" s="5" t="s">
        <v>65</v>
      </c>
      <c r="D10" s="5" t="s">
        <v>66</v>
      </c>
      <c r="E10" s="13" t="n">
        <f aca="false">'Diversity &amp; Ratio Indices'!C40</f>
        <v>-0</v>
      </c>
    </row>
    <row r="11" customFormat="false" ht="15" hidden="false" customHeight="false" outlineLevel="0" collapsed="false">
      <c r="A11" s="5" t="s">
        <v>67</v>
      </c>
      <c r="B11" s="5" t="s">
        <v>68</v>
      </c>
      <c r="C11" s="5" t="s">
        <v>69</v>
      </c>
      <c r="D11" s="5" t="s">
        <v>70</v>
      </c>
      <c r="E11" s="13" t="n">
        <f aca="false">'Diversity &amp; Ratio Indices'!C61</f>
        <v>100</v>
      </c>
    </row>
    <row r="13" customFormat="false" ht="15" hidden="false" customHeight="false" outlineLevel="0" collapsed="false">
      <c r="A13" s="14" t="s">
        <v>71</v>
      </c>
      <c r="B13" s="15"/>
      <c r="C13" s="16" t="n">
        <f aca="false">AVERAGE(E6:E11)</f>
        <v>66.6666666666667</v>
      </c>
      <c r="D13" s="15"/>
      <c r="E1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22"/>
  </cols>
  <sheetData>
    <row r="2" customFormat="false" ht="19.7" hidden="false" customHeight="false" outlineLevel="0" collapsed="false">
      <c r="A2" s="1" t="s">
        <v>72</v>
      </c>
    </row>
    <row r="5" customFormat="false" ht="28.3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</row>
    <row r="6" customFormat="false" ht="15" hidden="false" customHeight="false" outlineLevel="0" collapsed="false">
      <c r="A6" s="5" t="s">
        <v>73</v>
      </c>
      <c r="B6" s="5" t="s">
        <v>74</v>
      </c>
      <c r="C6" s="5" t="s">
        <v>75</v>
      </c>
      <c r="D6" s="5" t="s">
        <v>76</v>
      </c>
      <c r="E6" s="12" t="n">
        <v>75</v>
      </c>
    </row>
    <row r="7" customFormat="false" ht="15" hidden="false" customHeight="false" outlineLevel="0" collapsed="false">
      <c r="A7" s="5" t="s">
        <v>77</v>
      </c>
      <c r="B7" s="5" t="s">
        <v>74</v>
      </c>
      <c r="C7" s="5" t="s">
        <v>78</v>
      </c>
      <c r="D7" s="5" t="s">
        <v>79</v>
      </c>
      <c r="E7" s="12" t="n">
        <v>75</v>
      </c>
    </row>
    <row r="8" customFormat="false" ht="15" hidden="false" customHeight="false" outlineLevel="0" collapsed="false">
      <c r="A8" s="5" t="s">
        <v>80</v>
      </c>
      <c r="B8" s="5" t="s">
        <v>74</v>
      </c>
      <c r="C8" s="5" t="s">
        <v>81</v>
      </c>
      <c r="D8" s="5" t="s">
        <v>82</v>
      </c>
      <c r="E8" s="12" t="n">
        <v>75</v>
      </c>
    </row>
    <row r="9" customFormat="false" ht="15" hidden="false" customHeight="false" outlineLevel="0" collapsed="false">
      <c r="A9" s="5" t="s">
        <v>83</v>
      </c>
      <c r="B9" s="5" t="s">
        <v>84</v>
      </c>
      <c r="C9" s="5" t="s">
        <v>85</v>
      </c>
      <c r="D9" s="5" t="s">
        <v>86</v>
      </c>
      <c r="E9" s="12" t="n">
        <v>75</v>
      </c>
    </row>
    <row r="11" customFormat="false" ht="15" hidden="false" customHeight="false" outlineLevel="0" collapsed="false">
      <c r="A11" s="14" t="s">
        <v>71</v>
      </c>
      <c r="B11" s="15"/>
      <c r="C11" s="16" t="n">
        <f aca="false">AVERAGE(E6:E9)</f>
        <v>75</v>
      </c>
      <c r="D11" s="15"/>
      <c r="E1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22"/>
  </cols>
  <sheetData>
    <row r="2" customFormat="false" ht="19.7" hidden="false" customHeight="false" outlineLevel="0" collapsed="false">
      <c r="A2" s="1" t="s">
        <v>87</v>
      </c>
    </row>
    <row r="5" customFormat="false" ht="28.3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</row>
    <row r="6" customFormat="false" ht="15" hidden="false" customHeight="false" outlineLevel="0" collapsed="false">
      <c r="A6" s="5" t="s">
        <v>88</v>
      </c>
      <c r="B6" s="5" t="s">
        <v>89</v>
      </c>
      <c r="C6" s="5" t="s">
        <v>90</v>
      </c>
      <c r="D6" s="5" t="s">
        <v>91</v>
      </c>
      <c r="E6" s="12" t="n">
        <v>75</v>
      </c>
    </row>
    <row r="7" customFormat="false" ht="15" hidden="false" customHeight="false" outlineLevel="0" collapsed="false">
      <c r="A7" s="5" t="s">
        <v>92</v>
      </c>
      <c r="B7" s="5" t="s">
        <v>89</v>
      </c>
      <c r="C7" s="5" t="s">
        <v>93</v>
      </c>
      <c r="D7" s="5" t="s">
        <v>94</v>
      </c>
      <c r="E7" s="12" t="n">
        <v>75</v>
      </c>
    </row>
    <row r="8" customFormat="false" ht="15" hidden="false" customHeight="false" outlineLevel="0" collapsed="false">
      <c r="A8" s="5" t="s">
        <v>95</v>
      </c>
      <c r="B8" s="5" t="s">
        <v>89</v>
      </c>
      <c r="C8" s="5" t="s">
        <v>96</v>
      </c>
      <c r="D8" s="5" t="s">
        <v>97</v>
      </c>
      <c r="E8" s="12" t="n">
        <v>75</v>
      </c>
    </row>
    <row r="9" customFormat="false" ht="15" hidden="false" customHeight="false" outlineLevel="0" collapsed="false">
      <c r="A9" s="5" t="s">
        <v>98</v>
      </c>
      <c r="B9" s="5" t="s">
        <v>99</v>
      </c>
      <c r="C9" s="5" t="s">
        <v>100</v>
      </c>
      <c r="D9" s="5" t="s">
        <v>101</v>
      </c>
      <c r="E9" s="12" t="n">
        <v>75</v>
      </c>
    </row>
    <row r="11" customFormat="false" ht="15" hidden="false" customHeight="false" outlineLevel="0" collapsed="false">
      <c r="A11" s="14" t="s">
        <v>71</v>
      </c>
      <c r="B11" s="15"/>
      <c r="C11" s="16" t="n">
        <f aca="false">AVERAGE(E6:E9)</f>
        <v>75</v>
      </c>
      <c r="D11" s="15"/>
      <c r="E1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22"/>
  </cols>
  <sheetData>
    <row r="2" customFormat="false" ht="19.7" hidden="false" customHeight="false" outlineLevel="0" collapsed="false">
      <c r="A2" s="1" t="s">
        <v>102</v>
      </c>
    </row>
    <row r="5" customFormat="false" ht="28.3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</row>
    <row r="6" customFormat="false" ht="15" hidden="false" customHeight="false" outlineLevel="0" collapsed="false">
      <c r="A6" s="5" t="s">
        <v>103</v>
      </c>
      <c r="B6" s="5" t="s">
        <v>104</v>
      </c>
      <c r="C6" s="5" t="s">
        <v>105</v>
      </c>
      <c r="D6" s="5" t="s">
        <v>106</v>
      </c>
      <c r="E6" s="12" t="n">
        <v>75</v>
      </c>
    </row>
    <row r="7" customFormat="false" ht="15" hidden="false" customHeight="false" outlineLevel="0" collapsed="false">
      <c r="A7" s="5" t="s">
        <v>107</v>
      </c>
      <c r="B7" s="5" t="s">
        <v>108</v>
      </c>
      <c r="C7" s="5" t="s">
        <v>109</v>
      </c>
      <c r="D7" s="5" t="s">
        <v>110</v>
      </c>
      <c r="E7" s="12" t="n">
        <v>75</v>
      </c>
    </row>
    <row r="8" customFormat="false" ht="15" hidden="false" customHeight="false" outlineLevel="0" collapsed="false">
      <c r="A8" s="5" t="s">
        <v>111</v>
      </c>
      <c r="B8" s="5" t="s">
        <v>104</v>
      </c>
      <c r="C8" s="5" t="s">
        <v>112</v>
      </c>
      <c r="D8" s="5" t="s">
        <v>113</v>
      </c>
      <c r="E8" s="12" t="n">
        <v>75</v>
      </c>
    </row>
    <row r="9" customFormat="false" ht="15" hidden="false" customHeight="false" outlineLevel="0" collapsed="false">
      <c r="A9" s="5" t="s">
        <v>114</v>
      </c>
      <c r="B9" s="5" t="s">
        <v>115</v>
      </c>
      <c r="C9" s="5" t="s">
        <v>116</v>
      </c>
      <c r="D9" s="5" t="s">
        <v>117</v>
      </c>
      <c r="E9" s="12" t="n">
        <v>75</v>
      </c>
    </row>
    <row r="11" customFormat="false" ht="15" hidden="false" customHeight="false" outlineLevel="0" collapsed="false">
      <c r="A11" s="14" t="s">
        <v>71</v>
      </c>
      <c r="B11" s="15"/>
      <c r="C11" s="16" t="n">
        <f aca="false">AVERAGE(E6:E9)</f>
        <v>75</v>
      </c>
      <c r="D11" s="15"/>
      <c r="E1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22"/>
  </cols>
  <sheetData>
    <row r="2" customFormat="false" ht="19.7" hidden="false" customHeight="false" outlineLevel="0" collapsed="false">
      <c r="A2" s="1" t="s">
        <v>118</v>
      </c>
    </row>
    <row r="5" customFormat="false" ht="28.3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</row>
    <row r="6" customFormat="false" ht="15" hidden="false" customHeight="false" outlineLevel="0" collapsed="false">
      <c r="A6" s="5" t="s">
        <v>119</v>
      </c>
      <c r="B6" s="5" t="s">
        <v>120</v>
      </c>
      <c r="C6" s="5" t="s">
        <v>121</v>
      </c>
      <c r="D6" s="5" t="s">
        <v>122</v>
      </c>
      <c r="E6" s="13" t="n">
        <f aca="false">'Diversity &amp; Ratio Indices'!C79</f>
        <v>0</v>
      </c>
    </row>
    <row r="7" customFormat="false" ht="15" hidden="false" customHeight="false" outlineLevel="0" collapsed="false">
      <c r="A7" s="5" t="s">
        <v>123</v>
      </c>
      <c r="B7" s="5" t="s">
        <v>124</v>
      </c>
      <c r="C7" s="5" t="s">
        <v>125</v>
      </c>
      <c r="D7" s="5" t="s">
        <v>126</v>
      </c>
      <c r="E7" s="12" t="n">
        <v>75</v>
      </c>
    </row>
    <row r="8" customFormat="false" ht="15" hidden="false" customHeight="false" outlineLevel="0" collapsed="false">
      <c r="A8" s="5" t="s">
        <v>127</v>
      </c>
      <c r="B8" s="5" t="s">
        <v>128</v>
      </c>
      <c r="C8" s="5" t="s">
        <v>129</v>
      </c>
      <c r="D8" s="5" t="s">
        <v>130</v>
      </c>
      <c r="E8" s="12" t="n">
        <v>75</v>
      </c>
    </row>
    <row r="9" customFormat="false" ht="15" hidden="false" customHeight="false" outlineLevel="0" collapsed="false">
      <c r="A9" s="5" t="s">
        <v>131</v>
      </c>
      <c r="B9" s="5" t="s">
        <v>132</v>
      </c>
      <c r="C9" s="5" t="s">
        <v>133</v>
      </c>
      <c r="D9" s="5" t="s">
        <v>134</v>
      </c>
      <c r="E9" s="12" t="n">
        <v>75</v>
      </c>
    </row>
    <row r="11" customFormat="false" ht="15" hidden="false" customHeight="false" outlineLevel="0" collapsed="false">
      <c r="A11" s="14" t="s">
        <v>71</v>
      </c>
      <c r="B11" s="15"/>
      <c r="C11" s="16" t="n">
        <f aca="false">AVERAGE(E6:E9)</f>
        <v>56.25</v>
      </c>
      <c r="D11" s="15"/>
      <c r="E1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22"/>
  </cols>
  <sheetData>
    <row r="2" customFormat="false" ht="19.7" hidden="false" customHeight="false" outlineLevel="0" collapsed="false">
      <c r="A2" s="1" t="s">
        <v>135</v>
      </c>
    </row>
    <row r="5" customFormat="false" ht="28.3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</row>
    <row r="6" customFormat="false" ht="15" hidden="false" customHeight="false" outlineLevel="0" collapsed="false">
      <c r="A6" s="5" t="s">
        <v>136</v>
      </c>
      <c r="B6" s="5" t="s">
        <v>137</v>
      </c>
      <c r="C6" s="5" t="s">
        <v>138</v>
      </c>
      <c r="D6" s="5" t="s">
        <v>139</v>
      </c>
      <c r="E6" s="12" t="n">
        <v>75</v>
      </c>
    </row>
    <row r="7" customFormat="false" ht="15" hidden="false" customHeight="false" outlineLevel="0" collapsed="false">
      <c r="A7" s="5" t="s">
        <v>140</v>
      </c>
      <c r="B7" s="5" t="s">
        <v>141</v>
      </c>
      <c r="C7" s="5" t="s">
        <v>142</v>
      </c>
      <c r="D7" s="5" t="s">
        <v>143</v>
      </c>
      <c r="E7" s="12" t="n">
        <v>75</v>
      </c>
    </row>
    <row r="8" customFormat="false" ht="15" hidden="false" customHeight="false" outlineLevel="0" collapsed="false">
      <c r="A8" s="5" t="s">
        <v>144</v>
      </c>
      <c r="B8" s="5" t="s">
        <v>145</v>
      </c>
      <c r="C8" s="5" t="s">
        <v>146</v>
      </c>
      <c r="D8" s="5" t="s">
        <v>147</v>
      </c>
      <c r="E8" s="12" t="n">
        <v>75</v>
      </c>
    </row>
    <row r="9" customFormat="false" ht="15" hidden="false" customHeight="false" outlineLevel="0" collapsed="false">
      <c r="A9" s="5" t="s">
        <v>148</v>
      </c>
      <c r="B9" s="5" t="s">
        <v>149</v>
      </c>
      <c r="C9" s="5" t="s">
        <v>150</v>
      </c>
      <c r="D9" s="5" t="s">
        <v>151</v>
      </c>
      <c r="E9" s="12" t="n">
        <v>75</v>
      </c>
    </row>
    <row r="11" customFormat="false" ht="15" hidden="false" customHeight="false" outlineLevel="0" collapsed="false">
      <c r="A11" s="14" t="s">
        <v>71</v>
      </c>
      <c r="B11" s="15"/>
      <c r="C11" s="16" t="n">
        <f aca="false">AVERAGE(E6:E9)</f>
        <v>75</v>
      </c>
      <c r="D11" s="15"/>
      <c r="E1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8" min="5" style="0" width="12"/>
  </cols>
  <sheetData>
    <row r="2" customFormat="false" ht="19.7" hidden="false" customHeight="false" outlineLevel="0" collapsed="false">
      <c r="A2" s="1" t="s">
        <v>152</v>
      </c>
    </row>
    <row r="4" customFormat="false" ht="30" hidden="false" customHeight="true" outlineLevel="0" collapsed="false">
      <c r="A4" s="17" t="s">
        <v>153</v>
      </c>
      <c r="B4" s="17"/>
      <c r="C4" s="17"/>
      <c r="D4" s="17"/>
      <c r="E4" s="17"/>
      <c r="F4" s="17"/>
      <c r="G4" s="17"/>
      <c r="H4" s="17"/>
    </row>
    <row r="6" customFormat="false" ht="15" hidden="false" customHeight="false" outlineLevel="0" collapsed="false">
      <c r="A6" s="10" t="s">
        <v>154</v>
      </c>
    </row>
    <row r="7" customFormat="false" ht="15" hidden="false" customHeight="true" outlineLevel="0" collapsed="false">
      <c r="A7" s="18" t="s">
        <v>155</v>
      </c>
      <c r="B7" s="18"/>
      <c r="C7" s="18"/>
      <c r="D7" s="18"/>
      <c r="E7" s="18"/>
      <c r="F7" s="18"/>
      <c r="G7" s="18"/>
      <c r="H7" s="18"/>
    </row>
    <row r="9" customFormat="false" ht="28.35" hidden="false" customHeight="false" outlineLevel="0" collapsed="false">
      <c r="A9" s="4" t="s">
        <v>156</v>
      </c>
      <c r="B9" s="4" t="s">
        <v>157</v>
      </c>
      <c r="C9" s="4" t="s">
        <v>158</v>
      </c>
      <c r="D9" s="4" t="s">
        <v>159</v>
      </c>
    </row>
    <row r="10" customFormat="false" ht="15" hidden="false" customHeight="false" outlineLevel="0" collapsed="false">
      <c r="A10" s="19"/>
      <c r="B10" s="19" t="n">
        <v>0</v>
      </c>
      <c r="C10" s="20" t="n">
        <f aca="false">IF($B$35=0,0,B10/$B$35)</f>
        <v>0</v>
      </c>
      <c r="D10" s="20" t="n">
        <f aca="false">IF(C10=0,0,C10*LN(C10))</f>
        <v>0</v>
      </c>
    </row>
    <row r="11" customFormat="false" ht="15" hidden="false" customHeight="false" outlineLevel="0" collapsed="false">
      <c r="A11" s="19"/>
      <c r="B11" s="19" t="n">
        <v>0</v>
      </c>
      <c r="C11" s="20" t="n">
        <f aca="false">IF($B$35=0,0,B11/$B$35)</f>
        <v>0</v>
      </c>
      <c r="D11" s="20" t="n">
        <f aca="false">IF(C11=0,0,C11*LN(C11))</f>
        <v>0</v>
      </c>
    </row>
    <row r="12" customFormat="false" ht="15" hidden="false" customHeight="false" outlineLevel="0" collapsed="false">
      <c r="A12" s="19"/>
      <c r="B12" s="19" t="n">
        <v>0</v>
      </c>
      <c r="C12" s="20" t="n">
        <f aca="false">IF($B$35=0,0,B12/$B$35)</f>
        <v>0</v>
      </c>
      <c r="D12" s="20" t="n">
        <f aca="false">IF(C12=0,0,C12*LN(C12))</f>
        <v>0</v>
      </c>
    </row>
    <row r="13" customFormat="false" ht="15" hidden="false" customHeight="false" outlineLevel="0" collapsed="false">
      <c r="A13" s="19"/>
      <c r="B13" s="19" t="n">
        <v>0</v>
      </c>
      <c r="C13" s="20" t="n">
        <f aca="false">IF($B$35=0,0,B13/$B$35)</f>
        <v>0</v>
      </c>
      <c r="D13" s="20" t="n">
        <f aca="false">IF(C13=0,0,C13*LN(C13))</f>
        <v>0</v>
      </c>
    </row>
    <row r="14" customFormat="false" ht="15" hidden="false" customHeight="false" outlineLevel="0" collapsed="false">
      <c r="A14" s="19"/>
      <c r="B14" s="19" t="n">
        <v>0</v>
      </c>
      <c r="C14" s="20" t="n">
        <f aca="false">IF($B$35=0,0,B14/$B$35)</f>
        <v>0</v>
      </c>
      <c r="D14" s="20" t="n">
        <f aca="false">IF(C14=0,0,C14*LN(C14))</f>
        <v>0</v>
      </c>
    </row>
    <row r="15" customFormat="false" ht="15" hidden="false" customHeight="false" outlineLevel="0" collapsed="false">
      <c r="A15" s="19"/>
      <c r="B15" s="19" t="n">
        <v>0</v>
      </c>
      <c r="C15" s="20" t="n">
        <f aca="false">IF($B$35=0,0,B15/$B$35)</f>
        <v>0</v>
      </c>
      <c r="D15" s="20" t="n">
        <f aca="false">IF(C15=0,0,C15*LN(C15))</f>
        <v>0</v>
      </c>
    </row>
    <row r="16" customFormat="false" ht="15" hidden="false" customHeight="false" outlineLevel="0" collapsed="false">
      <c r="A16" s="19"/>
      <c r="B16" s="19" t="n">
        <v>0</v>
      </c>
      <c r="C16" s="20" t="n">
        <f aca="false">IF($B$35=0,0,B16/$B$35)</f>
        <v>0</v>
      </c>
      <c r="D16" s="20" t="n">
        <f aca="false">IF(C16=0,0,C16*LN(C16))</f>
        <v>0</v>
      </c>
    </row>
    <row r="17" customFormat="false" ht="15" hidden="false" customHeight="false" outlineLevel="0" collapsed="false">
      <c r="A17" s="19"/>
      <c r="B17" s="19" t="n">
        <v>0</v>
      </c>
      <c r="C17" s="20" t="n">
        <f aca="false">IF($B$35=0,0,B17/$B$35)</f>
        <v>0</v>
      </c>
      <c r="D17" s="20" t="n">
        <f aca="false">IF(C17=0,0,C17*LN(C17))</f>
        <v>0</v>
      </c>
    </row>
    <row r="18" customFormat="false" ht="15" hidden="false" customHeight="false" outlineLevel="0" collapsed="false">
      <c r="A18" s="19"/>
      <c r="B18" s="19" t="n">
        <v>0</v>
      </c>
      <c r="C18" s="20" t="n">
        <f aca="false">IF($B$35=0,0,B18/$B$35)</f>
        <v>0</v>
      </c>
      <c r="D18" s="20" t="n">
        <f aca="false">IF(C18=0,0,C18*LN(C18))</f>
        <v>0</v>
      </c>
    </row>
    <row r="19" customFormat="false" ht="15" hidden="false" customHeight="false" outlineLevel="0" collapsed="false">
      <c r="A19" s="19"/>
      <c r="B19" s="19" t="n">
        <v>0</v>
      </c>
      <c r="C19" s="20" t="n">
        <f aca="false">IF($B$35=0,0,B19/$B$35)</f>
        <v>0</v>
      </c>
      <c r="D19" s="20" t="n">
        <f aca="false">IF(C19=0,0,C19*LN(C19))</f>
        <v>0</v>
      </c>
    </row>
    <row r="20" customFormat="false" ht="15" hidden="false" customHeight="false" outlineLevel="0" collapsed="false">
      <c r="A20" s="19"/>
      <c r="B20" s="19" t="n">
        <v>0</v>
      </c>
      <c r="C20" s="20" t="n">
        <f aca="false">IF($B$35=0,0,B20/$B$35)</f>
        <v>0</v>
      </c>
      <c r="D20" s="20" t="n">
        <f aca="false">IF(C20=0,0,C20*LN(C20))</f>
        <v>0</v>
      </c>
    </row>
    <row r="21" customFormat="false" ht="15" hidden="false" customHeight="false" outlineLevel="0" collapsed="false">
      <c r="A21" s="19"/>
      <c r="B21" s="19" t="n">
        <v>0</v>
      </c>
      <c r="C21" s="20" t="n">
        <f aca="false">IF($B$35=0,0,B21/$B$35)</f>
        <v>0</v>
      </c>
      <c r="D21" s="20" t="n">
        <f aca="false">IF(C21=0,0,C21*LN(C21))</f>
        <v>0</v>
      </c>
    </row>
    <row r="22" customFormat="false" ht="15" hidden="false" customHeight="false" outlineLevel="0" collapsed="false">
      <c r="A22" s="19"/>
      <c r="B22" s="19" t="n">
        <v>0</v>
      </c>
      <c r="C22" s="20" t="n">
        <f aca="false">IF($B$35=0,0,B22/$B$35)</f>
        <v>0</v>
      </c>
      <c r="D22" s="20" t="n">
        <f aca="false">IF(C22=0,0,C22*LN(C22))</f>
        <v>0</v>
      </c>
    </row>
    <row r="23" customFormat="false" ht="15" hidden="false" customHeight="false" outlineLevel="0" collapsed="false">
      <c r="A23" s="19"/>
      <c r="B23" s="19" t="n">
        <v>0</v>
      </c>
      <c r="C23" s="20" t="n">
        <f aca="false">IF($B$35=0,0,B23/$B$35)</f>
        <v>0</v>
      </c>
      <c r="D23" s="20" t="n">
        <f aca="false">IF(C23=0,0,C23*LN(C23))</f>
        <v>0</v>
      </c>
    </row>
    <row r="24" customFormat="false" ht="15" hidden="false" customHeight="false" outlineLevel="0" collapsed="false">
      <c r="A24" s="19"/>
      <c r="B24" s="19" t="n">
        <v>0</v>
      </c>
      <c r="C24" s="20" t="n">
        <f aca="false">IF($B$35=0,0,B24/$B$35)</f>
        <v>0</v>
      </c>
      <c r="D24" s="20" t="n">
        <f aca="false">IF(C24=0,0,C24*LN(C24))</f>
        <v>0</v>
      </c>
    </row>
    <row r="25" customFormat="false" ht="15" hidden="false" customHeight="false" outlineLevel="0" collapsed="false">
      <c r="A25" s="19"/>
      <c r="B25" s="19" t="n">
        <v>0</v>
      </c>
      <c r="C25" s="20" t="n">
        <f aca="false">IF($B$35=0,0,B25/$B$35)</f>
        <v>0</v>
      </c>
      <c r="D25" s="20" t="n">
        <f aca="false">IF(C25=0,0,C25*LN(C25))</f>
        <v>0</v>
      </c>
    </row>
    <row r="26" customFormat="false" ht="15" hidden="false" customHeight="false" outlineLevel="0" collapsed="false">
      <c r="A26" s="19"/>
      <c r="B26" s="19" t="n">
        <v>0</v>
      </c>
      <c r="C26" s="20" t="n">
        <f aca="false">IF($B$35=0,0,B26/$B$35)</f>
        <v>0</v>
      </c>
      <c r="D26" s="20" t="n">
        <f aca="false">IF(C26=0,0,C26*LN(C26))</f>
        <v>0</v>
      </c>
    </row>
    <row r="27" customFormat="false" ht="15" hidden="false" customHeight="false" outlineLevel="0" collapsed="false">
      <c r="A27" s="19"/>
      <c r="B27" s="19" t="n">
        <v>0</v>
      </c>
      <c r="C27" s="20" t="n">
        <f aca="false">IF($B$35=0,0,B27/$B$35)</f>
        <v>0</v>
      </c>
      <c r="D27" s="20" t="n">
        <f aca="false">IF(C27=0,0,C27*LN(C27))</f>
        <v>0</v>
      </c>
    </row>
    <row r="28" customFormat="false" ht="15" hidden="false" customHeight="false" outlineLevel="0" collapsed="false">
      <c r="A28" s="19"/>
      <c r="B28" s="19" t="n">
        <v>0</v>
      </c>
      <c r="C28" s="20" t="n">
        <f aca="false">IF($B$35=0,0,B28/$B$35)</f>
        <v>0</v>
      </c>
      <c r="D28" s="20" t="n">
        <f aca="false">IF(C28=0,0,C28*LN(C28))</f>
        <v>0</v>
      </c>
    </row>
    <row r="29" customFormat="false" ht="15" hidden="false" customHeight="false" outlineLevel="0" collapsed="false">
      <c r="A29" s="19"/>
      <c r="B29" s="19" t="n">
        <v>0</v>
      </c>
      <c r="C29" s="20" t="n">
        <f aca="false">IF($B$35=0,0,B29/$B$35)</f>
        <v>0</v>
      </c>
      <c r="D29" s="20" t="n">
        <f aca="false">IF(C29=0,0,C29*LN(C29))</f>
        <v>0</v>
      </c>
    </row>
    <row r="30" customFormat="false" ht="15" hidden="false" customHeight="false" outlineLevel="0" collapsed="false">
      <c r="A30" s="19"/>
      <c r="B30" s="19" t="n">
        <v>0</v>
      </c>
      <c r="C30" s="20" t="n">
        <f aca="false">IF($B$35=0,0,B30/$B$35)</f>
        <v>0</v>
      </c>
      <c r="D30" s="20" t="n">
        <f aca="false">IF(C30=0,0,C30*LN(C30))</f>
        <v>0</v>
      </c>
    </row>
    <row r="31" customFormat="false" ht="15" hidden="false" customHeight="false" outlineLevel="0" collapsed="false">
      <c r="A31" s="19"/>
      <c r="B31" s="19" t="n">
        <v>0</v>
      </c>
      <c r="C31" s="20" t="n">
        <f aca="false">IF($B$35=0,0,B31/$B$35)</f>
        <v>0</v>
      </c>
      <c r="D31" s="20" t="n">
        <f aca="false">IF(C31=0,0,C31*LN(C31))</f>
        <v>0</v>
      </c>
    </row>
    <row r="32" customFormat="false" ht="15" hidden="false" customHeight="false" outlineLevel="0" collapsed="false">
      <c r="A32" s="19"/>
      <c r="B32" s="19" t="n">
        <v>0</v>
      </c>
      <c r="C32" s="20" t="n">
        <f aca="false">IF($B$35=0,0,B32/$B$35)</f>
        <v>0</v>
      </c>
      <c r="D32" s="20" t="n">
        <f aca="false">IF(C32=0,0,C32*LN(C32))</f>
        <v>0</v>
      </c>
    </row>
    <row r="33" customFormat="false" ht="15" hidden="false" customHeight="false" outlineLevel="0" collapsed="false">
      <c r="A33" s="19"/>
      <c r="B33" s="19" t="n">
        <v>0</v>
      </c>
      <c r="C33" s="20" t="n">
        <f aca="false">IF($B$35=0,0,B33/$B$35)</f>
        <v>0</v>
      </c>
      <c r="D33" s="20" t="n">
        <f aca="false">IF(C33=0,0,C33*LN(C33))</f>
        <v>0</v>
      </c>
    </row>
    <row r="34" customFormat="false" ht="15" hidden="false" customHeight="false" outlineLevel="0" collapsed="false">
      <c r="A34" s="19"/>
      <c r="B34" s="19" t="n">
        <v>0</v>
      </c>
      <c r="C34" s="20" t="n">
        <f aca="false">IF($B$35=0,0,B34/$B$35)</f>
        <v>0</v>
      </c>
      <c r="D34" s="20" t="n">
        <f aca="false">IF(C34=0,0,C34*LN(C34))</f>
        <v>0</v>
      </c>
    </row>
    <row r="35" customFormat="false" ht="15" hidden="false" customHeight="false" outlineLevel="0" collapsed="false">
      <c r="A35" s="21" t="s">
        <v>160</v>
      </c>
      <c r="B35" s="21" t="n">
        <f aca="false">SUM(B10:B34)</f>
        <v>0</v>
      </c>
      <c r="C35" s="22"/>
      <c r="D35" s="22"/>
    </row>
    <row r="37" customFormat="false" ht="15" hidden="false" customHeight="false" outlineLevel="0" collapsed="false">
      <c r="A37" s="2" t="s">
        <v>161</v>
      </c>
      <c r="C37" s="23" t="n">
        <f aca="false">-SUM(D10:D34)</f>
        <v>-0</v>
      </c>
    </row>
    <row r="38" customFormat="false" ht="15" hidden="false" customHeight="false" outlineLevel="0" collapsed="false">
      <c r="A38" s="24" t="s">
        <v>162</v>
      </c>
      <c r="C38" s="25" t="n">
        <f aca="false">1-SUMPRODUCT(C10:C34,C10:C34)</f>
        <v>1</v>
      </c>
    </row>
    <row r="39" customFormat="false" ht="15" hidden="false" customHeight="false" outlineLevel="0" collapsed="false">
      <c r="A39" s="24" t="s">
        <v>163</v>
      </c>
      <c r="C39" s="3" t="n">
        <f aca="false">COUNTIF(B10:B34,"&gt;0")</f>
        <v>0</v>
      </c>
    </row>
    <row r="40" customFormat="false" ht="15" hidden="false" customHeight="false" outlineLevel="0" collapsed="false">
      <c r="A40" s="14" t="s">
        <v>164</v>
      </c>
      <c r="B40" s="15"/>
      <c r="C40" s="26" t="n">
        <f aca="false">MIN(100,(C37/3)*100)</f>
        <v>-0</v>
      </c>
      <c r="D40" s="15"/>
    </row>
    <row r="42" customFormat="false" ht="15" hidden="false" customHeight="false" outlineLevel="0" collapsed="false">
      <c r="A42" s="10" t="s">
        <v>165</v>
      </c>
    </row>
    <row r="43" customFormat="false" ht="15" hidden="false" customHeight="false" outlineLevel="0" collapsed="false">
      <c r="A43" s="11" t="s">
        <v>166</v>
      </c>
      <c r="B43" s="11" t="s">
        <v>167</v>
      </c>
    </row>
    <row r="44" customFormat="false" ht="15" hidden="false" customHeight="false" outlineLevel="0" collapsed="false">
      <c r="A44" s="5" t="s">
        <v>168</v>
      </c>
      <c r="B44" s="5" t="s">
        <v>169</v>
      </c>
    </row>
    <row r="45" customFormat="false" ht="15" hidden="false" customHeight="false" outlineLevel="0" collapsed="false">
      <c r="A45" s="5" t="s">
        <v>170</v>
      </c>
      <c r="B45" s="5" t="s">
        <v>171</v>
      </c>
    </row>
    <row r="46" customFormat="false" ht="15" hidden="false" customHeight="false" outlineLevel="0" collapsed="false">
      <c r="A46" s="5" t="s">
        <v>172</v>
      </c>
      <c r="B46" s="5" t="s">
        <v>173</v>
      </c>
    </row>
    <row r="47" customFormat="false" ht="15" hidden="false" customHeight="false" outlineLevel="0" collapsed="false">
      <c r="A47" s="5" t="s">
        <v>174</v>
      </c>
      <c r="B47" s="5" t="s">
        <v>175</v>
      </c>
    </row>
    <row r="48" customFormat="false" ht="15" hidden="false" customHeight="false" outlineLevel="0" collapsed="false">
      <c r="A48" s="5" t="s">
        <v>176</v>
      </c>
      <c r="B48" s="5" t="s">
        <v>177</v>
      </c>
    </row>
    <row r="52" customFormat="false" ht="15" hidden="false" customHeight="false" outlineLevel="0" collapsed="false">
      <c r="A52" s="10" t="s">
        <v>178</v>
      </c>
    </row>
    <row r="53" customFormat="false" ht="22.35" hidden="false" customHeight="true" outlineLevel="0" collapsed="false">
      <c r="A53" s="18" t="s">
        <v>179</v>
      </c>
      <c r="B53" s="18"/>
      <c r="C53" s="18"/>
      <c r="D53" s="18"/>
      <c r="E53" s="18"/>
      <c r="F53" s="18"/>
      <c r="G53" s="18"/>
      <c r="H53" s="18"/>
    </row>
    <row r="55" customFormat="false" ht="15" hidden="false" customHeight="false" outlineLevel="0" collapsed="false">
      <c r="A55" s="24" t="s">
        <v>180</v>
      </c>
      <c r="C55" s="19" t="n">
        <v>0</v>
      </c>
    </row>
    <row r="56" customFormat="false" ht="15" hidden="false" customHeight="false" outlineLevel="0" collapsed="false">
      <c r="A56" s="24" t="s">
        <v>181</v>
      </c>
      <c r="C56" s="19" t="n">
        <v>0</v>
      </c>
    </row>
    <row r="57" customFormat="false" ht="15" hidden="false" customHeight="false" outlineLevel="0" collapsed="false">
      <c r="A57" s="24" t="s">
        <v>182</v>
      </c>
      <c r="C57" s="19" t="n">
        <v>3</v>
      </c>
    </row>
    <row r="59" customFormat="false" ht="15" hidden="false" customHeight="false" outlineLevel="0" collapsed="false">
      <c r="A59" s="24" t="s">
        <v>183</v>
      </c>
      <c r="C59" s="25" t="n">
        <f aca="false">IF(C56=0,0,C55/C56)</f>
        <v>0</v>
      </c>
    </row>
    <row r="60" customFormat="false" ht="15" hidden="false" customHeight="false" outlineLevel="0" collapsed="false">
      <c r="A60" s="24" t="s">
        <v>184</v>
      </c>
      <c r="C60" s="25" t="n">
        <f aca="false">IF(C57=0,0,C59/C57)</f>
        <v>0</v>
      </c>
    </row>
    <row r="61" customFormat="false" ht="15" hidden="false" customHeight="false" outlineLevel="0" collapsed="false">
      <c r="A61" s="14" t="s">
        <v>164</v>
      </c>
      <c r="B61" s="15"/>
      <c r="C61" s="26" t="n">
        <f aca="false">IF(C57=0,0,MAX(0,MIN(100,100-(C60-1)*100)))</f>
        <v>100</v>
      </c>
      <c r="D61" s="15"/>
    </row>
    <row r="63" customFormat="false" ht="15" hidden="false" customHeight="false" outlineLevel="0" collapsed="false">
      <c r="A63" s="10" t="s">
        <v>165</v>
      </c>
    </row>
    <row r="64" customFormat="false" ht="15" hidden="false" customHeight="false" outlineLevel="0" collapsed="false">
      <c r="A64" s="11" t="s">
        <v>185</v>
      </c>
      <c r="B64" s="11" t="s">
        <v>167</v>
      </c>
    </row>
    <row r="65" customFormat="false" ht="15" hidden="false" customHeight="false" outlineLevel="0" collapsed="false">
      <c r="A65" s="5" t="s">
        <v>186</v>
      </c>
      <c r="B65" s="5" t="s">
        <v>187</v>
      </c>
    </row>
    <row r="66" customFormat="false" ht="15" hidden="false" customHeight="false" outlineLevel="0" collapsed="false">
      <c r="A66" s="5" t="s">
        <v>188</v>
      </c>
      <c r="B66" s="5" t="s">
        <v>189</v>
      </c>
    </row>
    <row r="67" customFormat="false" ht="15" hidden="false" customHeight="false" outlineLevel="0" collapsed="false">
      <c r="A67" s="5" t="s">
        <v>190</v>
      </c>
      <c r="B67" s="5" t="s">
        <v>191</v>
      </c>
    </row>
    <row r="68" customFormat="false" ht="15" hidden="false" customHeight="false" outlineLevel="0" collapsed="false">
      <c r="A68" s="5" t="s">
        <v>192</v>
      </c>
      <c r="B68" s="5" t="s">
        <v>193</v>
      </c>
    </row>
    <row r="72" customFormat="false" ht="15" hidden="false" customHeight="false" outlineLevel="0" collapsed="false">
      <c r="A72" s="10" t="s">
        <v>194</v>
      </c>
    </row>
    <row r="73" customFormat="false" ht="22.35" hidden="false" customHeight="true" outlineLevel="0" collapsed="false">
      <c r="A73" s="18" t="s">
        <v>195</v>
      </c>
      <c r="B73" s="18"/>
      <c r="C73" s="18"/>
      <c r="D73" s="18"/>
      <c r="E73" s="18"/>
      <c r="F73" s="18"/>
      <c r="G73" s="18"/>
      <c r="H73" s="18"/>
    </row>
    <row r="75" customFormat="false" ht="15" hidden="false" customHeight="false" outlineLevel="0" collapsed="false">
      <c r="A75" s="24" t="s">
        <v>196</v>
      </c>
      <c r="C75" s="19" t="n">
        <v>0</v>
      </c>
    </row>
    <row r="76" customFormat="false" ht="15" hidden="false" customHeight="false" outlineLevel="0" collapsed="false">
      <c r="A76" s="24" t="s">
        <v>197</v>
      </c>
      <c r="C76" s="19" t="n">
        <v>0</v>
      </c>
    </row>
    <row r="78" customFormat="false" ht="15" hidden="false" customHeight="false" outlineLevel="0" collapsed="false">
      <c r="A78" s="24" t="s">
        <v>198</v>
      </c>
      <c r="C78" s="27" t="n">
        <f aca="false">IF(C76=0,0,(C75/C76)*100)</f>
        <v>0</v>
      </c>
    </row>
    <row r="79" customFormat="false" ht="15" hidden="false" customHeight="false" outlineLevel="0" collapsed="false">
      <c r="A79" s="14" t="s">
        <v>164</v>
      </c>
      <c r="B79" s="15"/>
      <c r="C79" s="26" t="n">
        <f aca="false">IF(C76=0,0,MIN(100,C78))</f>
        <v>0</v>
      </c>
      <c r="D79" s="15"/>
    </row>
    <row r="81" customFormat="false" ht="15" hidden="false" customHeight="false" outlineLevel="0" collapsed="false">
      <c r="A81" s="10" t="s">
        <v>165</v>
      </c>
    </row>
    <row r="82" customFormat="false" ht="15" hidden="false" customHeight="false" outlineLevel="0" collapsed="false">
      <c r="A82" s="11" t="s">
        <v>199</v>
      </c>
      <c r="B82" s="11" t="s">
        <v>167</v>
      </c>
    </row>
    <row r="83" customFormat="false" ht="15" hidden="false" customHeight="false" outlineLevel="0" collapsed="false">
      <c r="A83" s="5" t="s">
        <v>200</v>
      </c>
      <c r="B83" s="5" t="s">
        <v>201</v>
      </c>
    </row>
    <row r="84" customFormat="false" ht="15" hidden="false" customHeight="false" outlineLevel="0" collapsed="false">
      <c r="A84" s="5" t="s">
        <v>202</v>
      </c>
      <c r="B84" s="5" t="s">
        <v>203</v>
      </c>
    </row>
    <row r="85" customFormat="false" ht="15" hidden="false" customHeight="false" outlineLevel="0" collapsed="false">
      <c r="A85" s="5" t="s">
        <v>204</v>
      </c>
      <c r="B85" s="5" t="s">
        <v>205</v>
      </c>
    </row>
    <row r="86" customFormat="false" ht="15" hidden="false" customHeight="false" outlineLevel="0" collapsed="false">
      <c r="A86" s="5" t="s">
        <v>206</v>
      </c>
      <c r="B86" s="5" t="s">
        <v>207</v>
      </c>
    </row>
  </sheetData>
  <mergeCells count="4">
    <mergeCell ref="A4:H4"/>
    <mergeCell ref="A7:H7"/>
    <mergeCell ref="A53:H53"/>
    <mergeCell ref="A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2026-08-26T02:39:04Z</dcterms:created>
  <dc:creator>openpyxl</dc:creator>
  <dc:description/>
  <dc:language>en-US</dc:language>
  <cp:lastModifiedBy/>
  <dcterms:modified xsi:type="dcterms:W3CDTF">2026-08-26T02:39:04Z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